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ВКИ\VKI_Course2\2_semester\NumericalMethods\"/>
    </mc:Choice>
  </mc:AlternateContent>
  <xr:revisionPtr revIDLastSave="0" documentId="13_ncr:1_{10C61B2F-203F-4754-B035-7216E96682D3}" xr6:coauthVersionLast="47" xr6:coauthVersionMax="47" xr10:uidLastSave="{00000000-0000-0000-0000-000000000000}"/>
  <bookViews>
    <workbookView xWindow="2295" yWindow="2295" windowWidth="16365" windowHeight="124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" l="1"/>
  <c r="N9" i="1"/>
  <c r="K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9" i="1"/>
  <c r="H9" i="1"/>
  <c r="F9" i="1"/>
  <c r="G9" i="1"/>
  <c r="E9" i="1"/>
  <c r="D9" i="1"/>
  <c r="C9" i="1"/>
  <c r="B9" i="1"/>
  <c r="A9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A27" i="1"/>
  <c r="D27" i="1" s="1"/>
  <c r="E27" i="1" s="1"/>
  <c r="C27" i="1"/>
  <c r="H27" i="1" s="1"/>
  <c r="J27" i="1"/>
  <c r="A28" i="1" s="1"/>
  <c r="A11" i="1"/>
  <c r="C11" i="1" s="1"/>
  <c r="D11" i="1"/>
  <c r="E11" i="1"/>
  <c r="J11" i="1"/>
  <c r="A12" i="1" s="1"/>
  <c r="K11" i="1"/>
  <c r="L11" i="1" s="1"/>
  <c r="A10" i="1"/>
  <c r="C10" i="1" s="1"/>
  <c r="J10" i="1"/>
  <c r="K10" i="1"/>
  <c r="L10" i="1" s="1"/>
  <c r="J9" i="1"/>
  <c r="L9" i="1"/>
  <c r="C28" i="1" l="1"/>
  <c r="J28" i="1"/>
  <c r="D28" i="1"/>
  <c r="E28" i="1" s="1"/>
  <c r="F27" i="1"/>
  <c r="G27" i="1" s="1"/>
  <c r="K27" i="1"/>
  <c r="L27" i="1" s="1"/>
  <c r="D12" i="1"/>
  <c r="E12" i="1" s="1"/>
  <c r="C12" i="1"/>
  <c r="J12" i="1"/>
  <c r="F11" i="1"/>
  <c r="G11" i="1" s="1"/>
  <c r="H11" i="1"/>
  <c r="D10" i="1"/>
  <c r="E10" i="1" s="1"/>
  <c r="F10" i="1"/>
  <c r="G10" i="1" s="1"/>
  <c r="H10" i="1"/>
  <c r="M9" i="1"/>
  <c r="B10" i="1" s="1"/>
  <c r="A29" i="1" l="1"/>
  <c r="K28" i="1"/>
  <c r="L28" i="1" s="1"/>
  <c r="H28" i="1"/>
  <c r="F28" i="1"/>
  <c r="G28" i="1" s="1"/>
  <c r="H12" i="1"/>
  <c r="F12" i="1"/>
  <c r="G12" i="1" s="1"/>
  <c r="K12" i="1"/>
  <c r="L12" i="1" s="1"/>
  <c r="A13" i="1"/>
  <c r="M10" i="1"/>
  <c r="B11" i="1" s="1"/>
  <c r="M11" i="1" s="1"/>
  <c r="B12" i="1" s="1"/>
  <c r="M12" i="1" l="1"/>
  <c r="B13" i="1" s="1"/>
  <c r="C29" i="1"/>
  <c r="D29" i="1"/>
  <c r="E29" i="1" s="1"/>
  <c r="J29" i="1"/>
  <c r="K29" i="1" s="1"/>
  <c r="L29" i="1" s="1"/>
  <c r="C13" i="1"/>
  <c r="D13" i="1"/>
  <c r="E13" i="1" s="1"/>
  <c r="J13" i="1"/>
  <c r="F29" i="1" l="1"/>
  <c r="G29" i="1" s="1"/>
  <c r="H29" i="1"/>
  <c r="K13" i="1"/>
  <c r="L13" i="1" s="1"/>
  <c r="A14" i="1"/>
  <c r="F13" i="1"/>
  <c r="G13" i="1" s="1"/>
  <c r="M13" i="1" s="1"/>
  <c r="B14" i="1" s="1"/>
  <c r="H13" i="1"/>
  <c r="J14" i="1" l="1"/>
  <c r="C14" i="1"/>
  <c r="D14" i="1"/>
  <c r="E14" i="1" s="1"/>
  <c r="H14" i="1" l="1"/>
  <c r="F14" i="1"/>
  <c r="G14" i="1" s="1"/>
  <c r="M14" i="1" s="1"/>
  <c r="B15" i="1" s="1"/>
  <c r="K14" i="1"/>
  <c r="L14" i="1" s="1"/>
  <c r="A15" i="1"/>
  <c r="J15" i="1" l="1"/>
  <c r="C15" i="1"/>
  <c r="D15" i="1"/>
  <c r="E15" i="1" s="1"/>
  <c r="F15" i="1" l="1"/>
  <c r="G15" i="1" s="1"/>
  <c r="M15" i="1" s="1"/>
  <c r="B16" i="1" s="1"/>
  <c r="H15" i="1"/>
  <c r="K15" i="1"/>
  <c r="L15" i="1" s="1"/>
  <c r="A16" i="1"/>
  <c r="J16" i="1" l="1"/>
  <c r="D16" i="1"/>
  <c r="E16" i="1" s="1"/>
  <c r="C16" i="1"/>
  <c r="H16" i="1" l="1"/>
  <c r="F16" i="1"/>
  <c r="G16" i="1" s="1"/>
  <c r="M16" i="1" s="1"/>
  <c r="B17" i="1" s="1"/>
  <c r="K16" i="1"/>
  <c r="L16" i="1" s="1"/>
  <c r="A17" i="1"/>
  <c r="D17" i="1" l="1"/>
  <c r="E17" i="1" s="1"/>
  <c r="J17" i="1"/>
  <c r="C17" i="1"/>
  <c r="K17" i="1" l="1"/>
  <c r="L17" i="1" s="1"/>
  <c r="A18" i="1"/>
  <c r="H17" i="1"/>
  <c r="F17" i="1"/>
  <c r="G17" i="1" s="1"/>
  <c r="M17" i="1" s="1"/>
  <c r="B18" i="1" s="1"/>
  <c r="D18" i="1" l="1"/>
  <c r="E18" i="1" s="1"/>
  <c r="J18" i="1"/>
  <c r="C18" i="1"/>
  <c r="F18" i="1" l="1"/>
  <c r="G18" i="1" s="1"/>
  <c r="M18" i="1" s="1"/>
  <c r="B19" i="1" s="1"/>
  <c r="H18" i="1"/>
  <c r="A19" i="1"/>
  <c r="K18" i="1"/>
  <c r="L18" i="1" s="1"/>
  <c r="J19" i="1" l="1"/>
  <c r="C19" i="1"/>
  <c r="D19" i="1"/>
  <c r="E19" i="1" s="1"/>
  <c r="F19" i="1" l="1"/>
  <c r="G19" i="1" s="1"/>
  <c r="M19" i="1" s="1"/>
  <c r="B20" i="1" s="1"/>
  <c r="H19" i="1"/>
  <c r="A20" i="1"/>
  <c r="K19" i="1"/>
  <c r="L19" i="1" s="1"/>
  <c r="D20" i="1" l="1"/>
  <c r="E20" i="1" s="1"/>
  <c r="C20" i="1"/>
  <c r="J20" i="1"/>
  <c r="K20" i="1" l="1"/>
  <c r="L20" i="1" s="1"/>
  <c r="A21" i="1"/>
  <c r="F20" i="1"/>
  <c r="G20" i="1" s="1"/>
  <c r="M20" i="1" s="1"/>
  <c r="B21" i="1" s="1"/>
  <c r="H20" i="1"/>
  <c r="C21" i="1" l="1"/>
  <c r="J21" i="1"/>
  <c r="D21" i="1"/>
  <c r="E21" i="1" s="1"/>
  <c r="A22" i="1" l="1"/>
  <c r="K21" i="1"/>
  <c r="L21" i="1" s="1"/>
  <c r="F21" i="1"/>
  <c r="G21" i="1" s="1"/>
  <c r="M21" i="1" s="1"/>
  <c r="B22" i="1" s="1"/>
  <c r="H21" i="1"/>
  <c r="C22" i="1" l="1"/>
  <c r="D22" i="1"/>
  <c r="E22" i="1" s="1"/>
  <c r="J22" i="1"/>
  <c r="A23" i="1" l="1"/>
  <c r="K22" i="1"/>
  <c r="L22" i="1" s="1"/>
  <c r="F22" i="1"/>
  <c r="G22" i="1" s="1"/>
  <c r="M22" i="1" s="1"/>
  <c r="B23" i="1" s="1"/>
  <c r="H22" i="1"/>
  <c r="C23" i="1" l="1"/>
  <c r="D23" i="1"/>
  <c r="E23" i="1" s="1"/>
  <c r="J23" i="1"/>
  <c r="A24" i="1" l="1"/>
  <c r="K23" i="1"/>
  <c r="L23" i="1" s="1"/>
  <c r="H23" i="1"/>
  <c r="F23" i="1"/>
  <c r="G23" i="1" s="1"/>
  <c r="M23" i="1" s="1"/>
  <c r="B24" i="1" s="1"/>
  <c r="D24" i="1" l="1"/>
  <c r="E24" i="1" s="1"/>
  <c r="C24" i="1"/>
  <c r="J24" i="1"/>
  <c r="A25" i="1" l="1"/>
  <c r="K24" i="1"/>
  <c r="L24" i="1" s="1"/>
  <c r="F24" i="1"/>
  <c r="G24" i="1" s="1"/>
  <c r="M24" i="1" s="1"/>
  <c r="B25" i="1" s="1"/>
  <c r="H24" i="1"/>
  <c r="C25" i="1" l="1"/>
  <c r="D25" i="1"/>
  <c r="E25" i="1" s="1"/>
  <c r="J25" i="1"/>
  <c r="K25" i="1" l="1"/>
  <c r="L25" i="1" s="1"/>
  <c r="A26" i="1"/>
  <c r="F25" i="1"/>
  <c r="G25" i="1" s="1"/>
  <c r="M25" i="1" s="1"/>
  <c r="B26" i="1" s="1"/>
  <c r="H25" i="1"/>
  <c r="J26" i="1" l="1"/>
  <c r="K26" i="1" s="1"/>
  <c r="L26" i="1" s="1"/>
  <c r="D26" i="1"/>
  <c r="E26" i="1" s="1"/>
  <c r="C26" i="1"/>
  <c r="F26" i="1" l="1"/>
  <c r="G26" i="1" s="1"/>
  <c r="M26" i="1" s="1"/>
  <c r="B27" i="1" s="1"/>
  <c r="M27" i="1" s="1"/>
  <c r="B28" i="1" s="1"/>
  <c r="M28" i="1" s="1"/>
  <c r="B29" i="1" s="1"/>
  <c r="M29" i="1" s="1"/>
  <c r="H26" i="1"/>
</calcChain>
</file>

<file path=xl/sharedStrings.xml><?xml version="1.0" encoding="utf-8"?>
<sst xmlns="http://schemas.openxmlformats.org/spreadsheetml/2006/main" count="19" uniqueCount="19">
  <si>
    <t xml:space="preserve">y' = 2x - 8 </t>
  </si>
  <si>
    <t>y=x2-8x+3</t>
  </si>
  <si>
    <r>
      <t>x</t>
    </r>
    <r>
      <rPr>
        <sz val="5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charset val="204"/>
        <scheme val="minor"/>
      </rPr>
      <t>=</t>
    </r>
  </si>
  <si>
    <t>y0=</t>
  </si>
  <si>
    <t>h=</t>
  </si>
  <si>
    <t>Xi</t>
  </si>
  <si>
    <t>Yi</t>
  </si>
  <si>
    <t>x+h/2</t>
  </si>
  <si>
    <t>f(x,y)</t>
  </si>
  <si>
    <t>K1</t>
  </si>
  <si>
    <t>f(x+, y+)</t>
  </si>
  <si>
    <t>K2</t>
  </si>
  <si>
    <t>f(x+,y++)</t>
  </si>
  <si>
    <t>K3</t>
  </si>
  <si>
    <t>K4</t>
  </si>
  <si>
    <t>Xi+1</t>
  </si>
  <si>
    <t>f(x+1,y++)</t>
  </si>
  <si>
    <t>Yi+1</t>
  </si>
  <si>
    <r>
      <t>Y</t>
    </r>
    <r>
      <rPr>
        <sz val="8"/>
        <color theme="1"/>
        <rFont val="Calibri"/>
        <family val="2"/>
        <charset val="204"/>
        <scheme val="minor"/>
      </rPr>
      <t>тeoр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</si>
</sst>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5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29"/>
  <sheetViews>
    <sheetView tabSelected="1" workbookViewId="0">
      <selection activeCell="M9" sqref="M9"/>
    </sheetView>
  </sheetViews>
  <sheetFormatPr defaultRowHeight="15" x14ac:dyDescent="0.25"/>
  <cols>
    <col min="4" max="4" width="9.7109375" bestFit="1" customWidth="1"/>
    <col min="9" max="9" width="6.5703125" customWidth="1"/>
    <col min="10" max="10" width="8.28515625" customWidth="1"/>
    <col min="11" max="11" width="9.7109375" bestFit="1" customWidth="1"/>
  </cols>
  <sheetData>
    <row r="3" spans="1:14" x14ac:dyDescent="0.25">
      <c r="A3" t="s">
        <v>0</v>
      </c>
      <c r="D3" t="s">
        <v>1</v>
      </c>
    </row>
    <row r="4" spans="1:14" x14ac:dyDescent="0.25">
      <c r="A4" t="s">
        <v>2</v>
      </c>
      <c r="B4">
        <v>0</v>
      </c>
    </row>
    <row r="5" spans="1:14" x14ac:dyDescent="0.25">
      <c r="A5" t="s">
        <v>3</v>
      </c>
      <c r="B5">
        <v>3</v>
      </c>
    </row>
    <row r="6" spans="1:14" x14ac:dyDescent="0.25">
      <c r="A6" t="s">
        <v>4</v>
      </c>
      <c r="B6">
        <v>0.1</v>
      </c>
    </row>
    <row r="8" spans="1:14" x14ac:dyDescent="0.25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J8" t="s">
        <v>15</v>
      </c>
      <c r="K8" t="s">
        <v>16</v>
      </c>
      <c r="L8" t="s">
        <v>14</v>
      </c>
      <c r="M8" t="s">
        <v>17</v>
      </c>
      <c r="N8" t="s">
        <v>18</v>
      </c>
    </row>
    <row r="9" spans="1:14" x14ac:dyDescent="0.25">
      <c r="A9">
        <f>B4</f>
        <v>0</v>
      </c>
      <c r="B9">
        <f>B5</f>
        <v>3</v>
      </c>
      <c r="C9">
        <f>A9+$B$6/2</f>
        <v>0.05</v>
      </c>
      <c r="D9">
        <f>2*A9-8</f>
        <v>-8</v>
      </c>
      <c r="E9">
        <f>(D9*$B$6)</f>
        <v>-0.8</v>
      </c>
      <c r="F9">
        <f>(2*C9-8)</f>
        <v>-7.9</v>
      </c>
      <c r="G9">
        <f>F9*$B$6</f>
        <v>-0.79</v>
      </c>
      <c r="H9">
        <f>2*C9-8</f>
        <v>-7.9</v>
      </c>
      <c r="I9">
        <f>H9*$B$6</f>
        <v>-0.79</v>
      </c>
      <c r="J9">
        <f>A9+$B$6</f>
        <v>0.1</v>
      </c>
      <c r="K9">
        <f>2*J9-8</f>
        <v>-7.8</v>
      </c>
      <c r="L9">
        <f>K9*$B$6</f>
        <v>-0.78</v>
      </c>
      <c r="M9">
        <f>B9+(E9+2*G9+2*I9+L9)/6</f>
        <v>2.21</v>
      </c>
      <c r="N9">
        <f>A9^2-8*A9+3</f>
        <v>3</v>
      </c>
    </row>
    <row r="10" spans="1:14" x14ac:dyDescent="0.25">
      <c r="A10">
        <f>J9</f>
        <v>0.1</v>
      </c>
      <c r="B10">
        <f>M9</f>
        <v>2.21</v>
      </c>
      <c r="C10">
        <f t="shared" ref="C10" si="0">A10+$B$6/2</f>
        <v>0.15000000000000002</v>
      </c>
      <c r="D10">
        <f t="shared" ref="D10" si="1">2*A10-8</f>
        <v>-7.8</v>
      </c>
      <c r="E10">
        <f t="shared" ref="E10:E29" si="2">(D10*$B$6)</f>
        <v>-0.78</v>
      </c>
      <c r="F10">
        <f t="shared" ref="F10" si="3">(2*C10-8)</f>
        <v>-7.7</v>
      </c>
      <c r="G10">
        <f t="shared" ref="G10:G29" si="4">F10*$B$6</f>
        <v>-0.77</v>
      </c>
      <c r="H10">
        <f t="shared" ref="H10" si="5">2*C10-8</f>
        <v>-7.7</v>
      </c>
      <c r="I10">
        <f t="shared" ref="I10:I29" si="6">H10*$B$6</f>
        <v>-0.77</v>
      </c>
      <c r="J10">
        <f t="shared" ref="J10" si="7">A10+$B$6</f>
        <v>0.2</v>
      </c>
      <c r="K10">
        <f t="shared" ref="K10:K29" si="8">2*J10-8</f>
        <v>-7.6</v>
      </c>
      <c r="L10">
        <f t="shared" ref="L10:L29" si="9">K10*$B$6</f>
        <v>-0.76</v>
      </c>
      <c r="M10">
        <f t="shared" ref="M10" si="10">B10+(E10+2*G10+2*I10+L10)/6</f>
        <v>1.44</v>
      </c>
      <c r="N10">
        <f>A10^2-8*A10+3</f>
        <v>2.21</v>
      </c>
    </row>
    <row r="11" spans="1:14" x14ac:dyDescent="0.25">
      <c r="A11">
        <f t="shared" ref="A11:A26" si="11">J10</f>
        <v>0.2</v>
      </c>
      <c r="B11">
        <f t="shared" ref="B11:B26" si="12">M10</f>
        <v>1.44</v>
      </c>
      <c r="C11">
        <f t="shared" ref="C11:C27" si="13">A11+$B$6/2</f>
        <v>0.25</v>
      </c>
      <c r="D11">
        <f t="shared" ref="D11:D27" si="14">2*A11-8</f>
        <v>-7.6</v>
      </c>
      <c r="E11">
        <f t="shared" si="2"/>
        <v>-0.76</v>
      </c>
      <c r="F11">
        <f t="shared" ref="F11:F27" si="15">(2*C11-8)</f>
        <v>-7.5</v>
      </c>
      <c r="G11">
        <f t="shared" si="4"/>
        <v>-0.75</v>
      </c>
      <c r="H11">
        <f t="shared" ref="H11:H27" si="16">2*C11-8</f>
        <v>-7.5</v>
      </c>
      <c r="I11">
        <f t="shared" si="6"/>
        <v>-0.75</v>
      </c>
      <c r="J11">
        <f t="shared" ref="J11:J27" si="17">A11+$B$6</f>
        <v>0.30000000000000004</v>
      </c>
      <c r="K11">
        <f t="shared" si="8"/>
        <v>-7.4</v>
      </c>
      <c r="L11">
        <f t="shared" si="9"/>
        <v>-0.7400000000000001</v>
      </c>
      <c r="M11">
        <f t="shared" ref="M11:M27" si="18">B11+(E11+2*G11+2*I11+L11)/6</f>
        <v>0.69</v>
      </c>
      <c r="N11">
        <f t="shared" ref="N10:N29" si="19">A11^2-8*A11+3</f>
        <v>1.44</v>
      </c>
    </row>
    <row r="12" spans="1:14" x14ac:dyDescent="0.25">
      <c r="A12">
        <f t="shared" si="11"/>
        <v>0.30000000000000004</v>
      </c>
      <c r="B12">
        <f t="shared" si="12"/>
        <v>0.69</v>
      </c>
      <c r="C12">
        <f t="shared" si="13"/>
        <v>0.35000000000000003</v>
      </c>
      <c r="D12">
        <f t="shared" si="14"/>
        <v>-7.4</v>
      </c>
      <c r="E12">
        <f t="shared" si="2"/>
        <v>-0.7400000000000001</v>
      </c>
      <c r="F12">
        <f t="shared" si="15"/>
        <v>-7.3</v>
      </c>
      <c r="G12">
        <f t="shared" si="4"/>
        <v>-0.73</v>
      </c>
      <c r="H12">
        <f t="shared" si="16"/>
        <v>-7.3</v>
      </c>
      <c r="I12">
        <f t="shared" si="6"/>
        <v>-0.73</v>
      </c>
      <c r="J12">
        <f t="shared" si="17"/>
        <v>0.4</v>
      </c>
      <c r="K12">
        <f t="shared" si="8"/>
        <v>-7.2</v>
      </c>
      <c r="L12">
        <f t="shared" si="9"/>
        <v>-0.72000000000000008</v>
      </c>
      <c r="M12">
        <f t="shared" si="18"/>
        <v>-4.0000000000000036E-2</v>
      </c>
      <c r="N12">
        <f t="shared" si="19"/>
        <v>0.6899999999999995</v>
      </c>
    </row>
    <row r="13" spans="1:14" x14ac:dyDescent="0.25">
      <c r="A13">
        <f t="shared" si="11"/>
        <v>0.4</v>
      </c>
      <c r="B13">
        <f t="shared" si="12"/>
        <v>-4.0000000000000036E-2</v>
      </c>
      <c r="C13">
        <f t="shared" si="13"/>
        <v>0.45</v>
      </c>
      <c r="D13">
        <f t="shared" si="14"/>
        <v>-7.2</v>
      </c>
      <c r="E13">
        <f t="shared" si="2"/>
        <v>-0.72000000000000008</v>
      </c>
      <c r="F13">
        <f t="shared" si="15"/>
        <v>-7.1</v>
      </c>
      <c r="G13">
        <f t="shared" si="4"/>
        <v>-0.71</v>
      </c>
      <c r="H13">
        <f t="shared" si="16"/>
        <v>-7.1</v>
      </c>
      <c r="I13">
        <f t="shared" si="6"/>
        <v>-0.71</v>
      </c>
      <c r="J13">
        <f t="shared" si="17"/>
        <v>0.5</v>
      </c>
      <c r="K13">
        <f t="shared" si="8"/>
        <v>-7</v>
      </c>
      <c r="L13">
        <f t="shared" si="9"/>
        <v>-0.70000000000000007</v>
      </c>
      <c r="M13">
        <f t="shared" si="18"/>
        <v>-0.75</v>
      </c>
      <c r="N13">
        <f t="shared" si="19"/>
        <v>-4.0000000000000036E-2</v>
      </c>
    </row>
    <row r="14" spans="1:14" x14ac:dyDescent="0.25">
      <c r="A14">
        <f t="shared" si="11"/>
        <v>0.5</v>
      </c>
      <c r="B14">
        <f t="shared" si="12"/>
        <v>-0.75</v>
      </c>
      <c r="C14">
        <f t="shared" si="13"/>
        <v>0.55000000000000004</v>
      </c>
      <c r="D14">
        <f t="shared" si="14"/>
        <v>-7</v>
      </c>
      <c r="E14">
        <f t="shared" si="2"/>
        <v>-0.70000000000000007</v>
      </c>
      <c r="F14">
        <f t="shared" si="15"/>
        <v>-6.9</v>
      </c>
      <c r="G14">
        <f t="shared" si="4"/>
        <v>-0.69000000000000006</v>
      </c>
      <c r="H14">
        <f t="shared" si="16"/>
        <v>-6.9</v>
      </c>
      <c r="I14">
        <f t="shared" si="6"/>
        <v>-0.69000000000000006</v>
      </c>
      <c r="J14">
        <f t="shared" si="17"/>
        <v>0.6</v>
      </c>
      <c r="K14">
        <f t="shared" si="8"/>
        <v>-6.8</v>
      </c>
      <c r="L14">
        <f t="shared" si="9"/>
        <v>-0.68</v>
      </c>
      <c r="M14">
        <f t="shared" si="18"/>
        <v>-1.44</v>
      </c>
      <c r="N14">
        <f t="shared" si="19"/>
        <v>-0.75</v>
      </c>
    </row>
    <row r="15" spans="1:14" x14ac:dyDescent="0.25">
      <c r="A15">
        <f t="shared" si="11"/>
        <v>0.6</v>
      </c>
      <c r="B15">
        <f t="shared" si="12"/>
        <v>-1.44</v>
      </c>
      <c r="C15">
        <f t="shared" si="13"/>
        <v>0.65</v>
      </c>
      <c r="D15">
        <f t="shared" si="14"/>
        <v>-6.8</v>
      </c>
      <c r="E15">
        <f t="shared" si="2"/>
        <v>-0.68</v>
      </c>
      <c r="F15">
        <f t="shared" si="15"/>
        <v>-6.7</v>
      </c>
      <c r="G15">
        <f t="shared" si="4"/>
        <v>-0.67</v>
      </c>
      <c r="H15">
        <f t="shared" si="16"/>
        <v>-6.7</v>
      </c>
      <c r="I15">
        <f t="shared" si="6"/>
        <v>-0.67</v>
      </c>
      <c r="J15">
        <f t="shared" si="17"/>
        <v>0.7</v>
      </c>
      <c r="K15">
        <f t="shared" si="8"/>
        <v>-6.6</v>
      </c>
      <c r="L15">
        <f t="shared" si="9"/>
        <v>-0.66</v>
      </c>
      <c r="M15">
        <f t="shared" si="18"/>
        <v>-2.11</v>
      </c>
      <c r="N15">
        <f t="shared" si="19"/>
        <v>-1.4399999999999995</v>
      </c>
    </row>
    <row r="16" spans="1:14" x14ac:dyDescent="0.25">
      <c r="A16">
        <f t="shared" si="11"/>
        <v>0.7</v>
      </c>
      <c r="B16">
        <f t="shared" si="12"/>
        <v>-2.11</v>
      </c>
      <c r="C16">
        <f t="shared" si="13"/>
        <v>0.75</v>
      </c>
      <c r="D16">
        <f t="shared" si="14"/>
        <v>-6.6</v>
      </c>
      <c r="E16">
        <f t="shared" si="2"/>
        <v>-0.66</v>
      </c>
      <c r="F16">
        <f t="shared" si="15"/>
        <v>-6.5</v>
      </c>
      <c r="G16">
        <f t="shared" si="4"/>
        <v>-0.65</v>
      </c>
      <c r="H16">
        <f t="shared" si="16"/>
        <v>-6.5</v>
      </c>
      <c r="I16">
        <f t="shared" si="6"/>
        <v>-0.65</v>
      </c>
      <c r="J16">
        <f t="shared" si="17"/>
        <v>0.79999999999999993</v>
      </c>
      <c r="K16">
        <f t="shared" si="8"/>
        <v>-6.4</v>
      </c>
      <c r="L16">
        <f t="shared" si="9"/>
        <v>-0.64000000000000012</v>
      </c>
      <c r="M16">
        <f t="shared" si="18"/>
        <v>-2.76</v>
      </c>
      <c r="N16">
        <f t="shared" si="19"/>
        <v>-2.1099999999999994</v>
      </c>
    </row>
    <row r="17" spans="1:14" x14ac:dyDescent="0.25">
      <c r="A17">
        <f t="shared" si="11"/>
        <v>0.79999999999999993</v>
      </c>
      <c r="B17">
        <f t="shared" si="12"/>
        <v>-2.76</v>
      </c>
      <c r="C17">
        <f t="shared" si="13"/>
        <v>0.85</v>
      </c>
      <c r="D17">
        <f t="shared" si="14"/>
        <v>-6.4</v>
      </c>
      <c r="E17">
        <f t="shared" si="2"/>
        <v>-0.64000000000000012</v>
      </c>
      <c r="F17">
        <f t="shared" si="15"/>
        <v>-6.3</v>
      </c>
      <c r="G17">
        <f t="shared" si="4"/>
        <v>-0.63</v>
      </c>
      <c r="H17">
        <f t="shared" si="16"/>
        <v>-6.3</v>
      </c>
      <c r="I17">
        <f t="shared" si="6"/>
        <v>-0.63</v>
      </c>
      <c r="J17">
        <f t="shared" si="17"/>
        <v>0.89999999999999991</v>
      </c>
      <c r="K17">
        <f t="shared" si="8"/>
        <v>-6.2</v>
      </c>
      <c r="L17">
        <f t="shared" si="9"/>
        <v>-0.62000000000000011</v>
      </c>
      <c r="M17">
        <f t="shared" si="18"/>
        <v>-3.3899999999999997</v>
      </c>
      <c r="N17">
        <f t="shared" si="19"/>
        <v>-2.76</v>
      </c>
    </row>
    <row r="18" spans="1:14" x14ac:dyDescent="0.25">
      <c r="A18">
        <f t="shared" si="11"/>
        <v>0.89999999999999991</v>
      </c>
      <c r="B18">
        <f t="shared" si="12"/>
        <v>-3.3899999999999997</v>
      </c>
      <c r="C18">
        <f t="shared" si="13"/>
        <v>0.95</v>
      </c>
      <c r="D18">
        <f t="shared" si="14"/>
        <v>-6.2</v>
      </c>
      <c r="E18">
        <f t="shared" si="2"/>
        <v>-0.62000000000000011</v>
      </c>
      <c r="F18">
        <f t="shared" si="15"/>
        <v>-6.1</v>
      </c>
      <c r="G18">
        <f t="shared" si="4"/>
        <v>-0.61</v>
      </c>
      <c r="H18">
        <f t="shared" si="16"/>
        <v>-6.1</v>
      </c>
      <c r="I18">
        <f t="shared" si="6"/>
        <v>-0.61</v>
      </c>
      <c r="J18">
        <f t="shared" si="17"/>
        <v>0.99999999999999989</v>
      </c>
      <c r="K18">
        <f t="shared" si="8"/>
        <v>-6</v>
      </c>
      <c r="L18">
        <f t="shared" si="9"/>
        <v>-0.60000000000000009</v>
      </c>
      <c r="M18">
        <f t="shared" si="18"/>
        <v>-3.9999999999999996</v>
      </c>
      <c r="N18">
        <f t="shared" si="19"/>
        <v>-3.3899999999999997</v>
      </c>
    </row>
    <row r="19" spans="1:14" x14ac:dyDescent="0.25">
      <c r="A19">
        <f t="shared" si="11"/>
        <v>0.99999999999999989</v>
      </c>
      <c r="B19">
        <f t="shared" si="12"/>
        <v>-3.9999999999999996</v>
      </c>
      <c r="C19">
        <f t="shared" si="13"/>
        <v>1.0499999999999998</v>
      </c>
      <c r="D19">
        <f t="shared" si="14"/>
        <v>-6</v>
      </c>
      <c r="E19">
        <f t="shared" si="2"/>
        <v>-0.60000000000000009</v>
      </c>
      <c r="F19">
        <f t="shared" si="15"/>
        <v>-5.9</v>
      </c>
      <c r="G19">
        <f t="shared" si="4"/>
        <v>-0.59000000000000008</v>
      </c>
      <c r="H19">
        <f t="shared" si="16"/>
        <v>-5.9</v>
      </c>
      <c r="I19">
        <f t="shared" si="6"/>
        <v>-0.59000000000000008</v>
      </c>
      <c r="J19">
        <f t="shared" si="17"/>
        <v>1.0999999999999999</v>
      </c>
      <c r="K19">
        <f t="shared" si="8"/>
        <v>-5.8000000000000007</v>
      </c>
      <c r="L19">
        <f t="shared" si="9"/>
        <v>-0.58000000000000007</v>
      </c>
      <c r="M19">
        <f t="shared" si="18"/>
        <v>-4.59</v>
      </c>
      <c r="N19">
        <f t="shared" si="19"/>
        <v>-3.9999999999999991</v>
      </c>
    </row>
    <row r="20" spans="1:14" x14ac:dyDescent="0.25">
      <c r="A20">
        <f t="shared" si="11"/>
        <v>1.0999999999999999</v>
      </c>
      <c r="B20">
        <f t="shared" si="12"/>
        <v>-4.59</v>
      </c>
      <c r="C20">
        <f t="shared" si="13"/>
        <v>1.1499999999999999</v>
      </c>
      <c r="D20">
        <f t="shared" si="14"/>
        <v>-5.8000000000000007</v>
      </c>
      <c r="E20">
        <f t="shared" si="2"/>
        <v>-0.58000000000000007</v>
      </c>
      <c r="F20">
        <f t="shared" si="15"/>
        <v>-5.7</v>
      </c>
      <c r="G20">
        <f t="shared" si="4"/>
        <v>-0.57000000000000006</v>
      </c>
      <c r="H20">
        <f t="shared" si="16"/>
        <v>-5.7</v>
      </c>
      <c r="I20">
        <f t="shared" si="6"/>
        <v>-0.57000000000000006</v>
      </c>
      <c r="J20">
        <f t="shared" si="17"/>
        <v>1.2</v>
      </c>
      <c r="K20">
        <f t="shared" si="8"/>
        <v>-5.6</v>
      </c>
      <c r="L20">
        <f t="shared" si="9"/>
        <v>-0.55999999999999994</v>
      </c>
      <c r="M20">
        <f t="shared" si="18"/>
        <v>-5.16</v>
      </c>
      <c r="N20">
        <f t="shared" si="19"/>
        <v>-4.589999999999999</v>
      </c>
    </row>
    <row r="21" spans="1:14" x14ac:dyDescent="0.25">
      <c r="A21">
        <f t="shared" si="11"/>
        <v>1.2</v>
      </c>
      <c r="B21">
        <f t="shared" si="12"/>
        <v>-5.16</v>
      </c>
      <c r="C21">
        <f t="shared" si="13"/>
        <v>1.25</v>
      </c>
      <c r="D21">
        <f t="shared" si="14"/>
        <v>-5.6</v>
      </c>
      <c r="E21">
        <f t="shared" si="2"/>
        <v>-0.55999999999999994</v>
      </c>
      <c r="F21">
        <f t="shared" si="15"/>
        <v>-5.5</v>
      </c>
      <c r="G21">
        <f t="shared" si="4"/>
        <v>-0.55000000000000004</v>
      </c>
      <c r="H21">
        <f t="shared" si="16"/>
        <v>-5.5</v>
      </c>
      <c r="I21">
        <f t="shared" si="6"/>
        <v>-0.55000000000000004</v>
      </c>
      <c r="J21">
        <f t="shared" si="17"/>
        <v>1.3</v>
      </c>
      <c r="K21">
        <f t="shared" si="8"/>
        <v>-5.4</v>
      </c>
      <c r="L21">
        <f t="shared" si="9"/>
        <v>-0.54</v>
      </c>
      <c r="M21">
        <f t="shared" si="18"/>
        <v>-5.71</v>
      </c>
      <c r="N21">
        <f t="shared" si="19"/>
        <v>-5.16</v>
      </c>
    </row>
    <row r="22" spans="1:14" x14ac:dyDescent="0.25">
      <c r="A22">
        <f t="shared" si="11"/>
        <v>1.3</v>
      </c>
      <c r="B22">
        <f t="shared" si="12"/>
        <v>-5.71</v>
      </c>
      <c r="C22">
        <f t="shared" si="13"/>
        <v>1.35</v>
      </c>
      <c r="D22">
        <f t="shared" si="14"/>
        <v>-5.4</v>
      </c>
      <c r="E22">
        <f t="shared" si="2"/>
        <v>-0.54</v>
      </c>
      <c r="F22">
        <f t="shared" si="15"/>
        <v>-5.3</v>
      </c>
      <c r="G22">
        <f t="shared" si="4"/>
        <v>-0.53</v>
      </c>
      <c r="H22">
        <f t="shared" si="16"/>
        <v>-5.3</v>
      </c>
      <c r="I22">
        <f t="shared" si="6"/>
        <v>-0.53</v>
      </c>
      <c r="J22">
        <f t="shared" si="17"/>
        <v>1.4000000000000001</v>
      </c>
      <c r="K22">
        <f t="shared" si="8"/>
        <v>-5.1999999999999993</v>
      </c>
      <c r="L22">
        <f t="shared" si="9"/>
        <v>-0.51999999999999991</v>
      </c>
      <c r="M22">
        <f t="shared" si="18"/>
        <v>-6.24</v>
      </c>
      <c r="N22">
        <f t="shared" si="19"/>
        <v>-5.7100000000000009</v>
      </c>
    </row>
    <row r="23" spans="1:14" x14ac:dyDescent="0.25">
      <c r="A23">
        <f t="shared" si="11"/>
        <v>1.4000000000000001</v>
      </c>
      <c r="B23">
        <f t="shared" si="12"/>
        <v>-6.24</v>
      </c>
      <c r="C23">
        <f t="shared" si="13"/>
        <v>1.4500000000000002</v>
      </c>
      <c r="D23">
        <f t="shared" si="14"/>
        <v>-5.1999999999999993</v>
      </c>
      <c r="E23">
        <f t="shared" si="2"/>
        <v>-0.51999999999999991</v>
      </c>
      <c r="F23">
        <f t="shared" si="15"/>
        <v>-5.0999999999999996</v>
      </c>
      <c r="G23">
        <f t="shared" si="4"/>
        <v>-0.51</v>
      </c>
      <c r="H23">
        <f t="shared" si="16"/>
        <v>-5.0999999999999996</v>
      </c>
      <c r="I23">
        <f t="shared" si="6"/>
        <v>-0.51</v>
      </c>
      <c r="J23">
        <f t="shared" si="17"/>
        <v>1.5000000000000002</v>
      </c>
      <c r="K23">
        <f t="shared" si="8"/>
        <v>-5</v>
      </c>
      <c r="L23">
        <f t="shared" si="9"/>
        <v>-0.5</v>
      </c>
      <c r="M23">
        <f t="shared" si="18"/>
        <v>-6.75</v>
      </c>
      <c r="N23">
        <f t="shared" si="19"/>
        <v>-6.24</v>
      </c>
    </row>
    <row r="24" spans="1:14" x14ac:dyDescent="0.25">
      <c r="A24">
        <f t="shared" si="11"/>
        <v>1.5000000000000002</v>
      </c>
      <c r="B24">
        <f t="shared" si="12"/>
        <v>-6.75</v>
      </c>
      <c r="C24">
        <f t="shared" si="13"/>
        <v>1.5500000000000003</v>
      </c>
      <c r="D24">
        <f t="shared" si="14"/>
        <v>-5</v>
      </c>
      <c r="E24">
        <f t="shared" si="2"/>
        <v>-0.5</v>
      </c>
      <c r="F24">
        <f t="shared" si="15"/>
        <v>-4.8999999999999995</v>
      </c>
      <c r="G24">
        <f t="shared" si="4"/>
        <v>-0.49</v>
      </c>
      <c r="H24">
        <f t="shared" si="16"/>
        <v>-4.8999999999999995</v>
      </c>
      <c r="I24">
        <f t="shared" si="6"/>
        <v>-0.49</v>
      </c>
      <c r="J24">
        <f t="shared" si="17"/>
        <v>1.6000000000000003</v>
      </c>
      <c r="K24">
        <f t="shared" si="8"/>
        <v>-4.7999999999999989</v>
      </c>
      <c r="L24">
        <f t="shared" si="9"/>
        <v>-0.47999999999999993</v>
      </c>
      <c r="M24">
        <f t="shared" si="18"/>
        <v>-7.24</v>
      </c>
      <c r="N24">
        <f t="shared" si="19"/>
        <v>-6.75</v>
      </c>
    </row>
    <row r="25" spans="1:14" x14ac:dyDescent="0.25">
      <c r="A25">
        <f t="shared" si="11"/>
        <v>1.6000000000000003</v>
      </c>
      <c r="B25">
        <f t="shared" si="12"/>
        <v>-7.24</v>
      </c>
      <c r="C25">
        <f t="shared" si="13"/>
        <v>1.6500000000000004</v>
      </c>
      <c r="D25">
        <f t="shared" si="14"/>
        <v>-4.7999999999999989</v>
      </c>
      <c r="E25">
        <f t="shared" si="2"/>
        <v>-0.47999999999999993</v>
      </c>
      <c r="F25">
        <f t="shared" si="15"/>
        <v>-4.6999999999999993</v>
      </c>
      <c r="G25">
        <f t="shared" si="4"/>
        <v>-0.47</v>
      </c>
      <c r="H25">
        <f t="shared" si="16"/>
        <v>-4.6999999999999993</v>
      </c>
      <c r="I25">
        <f t="shared" si="6"/>
        <v>-0.47</v>
      </c>
      <c r="J25">
        <f t="shared" si="17"/>
        <v>1.7000000000000004</v>
      </c>
      <c r="K25">
        <f t="shared" si="8"/>
        <v>-4.5999999999999996</v>
      </c>
      <c r="L25">
        <f t="shared" si="9"/>
        <v>-0.45999999999999996</v>
      </c>
      <c r="M25">
        <f t="shared" si="18"/>
        <v>-7.71</v>
      </c>
      <c r="N25">
        <f t="shared" si="19"/>
        <v>-7.240000000000002</v>
      </c>
    </row>
    <row r="26" spans="1:14" x14ac:dyDescent="0.25">
      <c r="A26">
        <f t="shared" si="11"/>
        <v>1.7000000000000004</v>
      </c>
      <c r="B26">
        <f t="shared" si="12"/>
        <v>-7.71</v>
      </c>
      <c r="C26">
        <f t="shared" si="13"/>
        <v>1.7500000000000004</v>
      </c>
      <c r="D26">
        <f t="shared" si="14"/>
        <v>-4.5999999999999996</v>
      </c>
      <c r="E26">
        <f t="shared" si="2"/>
        <v>-0.45999999999999996</v>
      </c>
      <c r="F26">
        <f t="shared" si="15"/>
        <v>-4.4999999999999991</v>
      </c>
      <c r="G26">
        <f t="shared" si="4"/>
        <v>-0.44999999999999996</v>
      </c>
      <c r="H26">
        <f t="shared" si="16"/>
        <v>-4.4999999999999991</v>
      </c>
      <c r="I26">
        <f t="shared" si="6"/>
        <v>-0.44999999999999996</v>
      </c>
      <c r="J26">
        <f t="shared" si="17"/>
        <v>1.8000000000000005</v>
      </c>
      <c r="K26">
        <f t="shared" si="8"/>
        <v>-4.3999999999999986</v>
      </c>
      <c r="L26">
        <f t="shared" si="9"/>
        <v>-0.43999999999999989</v>
      </c>
      <c r="M26">
        <f t="shared" si="18"/>
        <v>-8.16</v>
      </c>
      <c r="N26">
        <f t="shared" si="19"/>
        <v>-7.7100000000000009</v>
      </c>
    </row>
    <row r="27" spans="1:14" x14ac:dyDescent="0.25">
      <c r="A27">
        <f>J26</f>
        <v>1.8000000000000005</v>
      </c>
      <c r="B27">
        <f>M26</f>
        <v>-8.16</v>
      </c>
      <c r="C27">
        <f t="shared" si="13"/>
        <v>1.8500000000000005</v>
      </c>
      <c r="D27">
        <f t="shared" si="14"/>
        <v>-4.3999999999999986</v>
      </c>
      <c r="E27">
        <f t="shared" si="2"/>
        <v>-0.43999999999999989</v>
      </c>
      <c r="F27">
        <f t="shared" si="15"/>
        <v>-4.2999999999999989</v>
      </c>
      <c r="G27">
        <f t="shared" si="4"/>
        <v>-0.42999999999999994</v>
      </c>
      <c r="H27">
        <f t="shared" si="16"/>
        <v>-4.2999999999999989</v>
      </c>
      <c r="I27">
        <f t="shared" si="6"/>
        <v>-0.42999999999999994</v>
      </c>
      <c r="J27">
        <f t="shared" si="17"/>
        <v>1.9000000000000006</v>
      </c>
      <c r="K27">
        <f t="shared" si="8"/>
        <v>-4.1999999999999993</v>
      </c>
      <c r="L27">
        <f t="shared" si="9"/>
        <v>-0.41999999999999993</v>
      </c>
      <c r="M27">
        <f t="shared" si="18"/>
        <v>-8.59</v>
      </c>
      <c r="N27">
        <f t="shared" si="19"/>
        <v>-8.1600000000000019</v>
      </c>
    </row>
    <row r="28" spans="1:14" x14ac:dyDescent="0.25">
      <c r="A28">
        <f t="shared" ref="A28:A29" si="20">J27</f>
        <v>1.9000000000000006</v>
      </c>
      <c r="B28">
        <f t="shared" ref="B28:B29" si="21">M27</f>
        <v>-8.59</v>
      </c>
      <c r="C28">
        <f t="shared" ref="C28:C29" si="22">A28+$B$6/2</f>
        <v>1.9500000000000006</v>
      </c>
      <c r="D28">
        <f t="shared" ref="D28:D29" si="23">2*A28-8</f>
        <v>-4.1999999999999993</v>
      </c>
      <c r="E28">
        <f t="shared" si="2"/>
        <v>-0.41999999999999993</v>
      </c>
      <c r="F28">
        <f t="shared" ref="F28:F29" si="24">(2*C28-8)</f>
        <v>-4.0999999999999988</v>
      </c>
      <c r="G28">
        <f t="shared" si="4"/>
        <v>-0.40999999999999992</v>
      </c>
      <c r="H28">
        <f t="shared" ref="H28:H29" si="25">2*C28-8</f>
        <v>-4.0999999999999988</v>
      </c>
      <c r="I28">
        <f t="shared" si="6"/>
        <v>-0.40999999999999992</v>
      </c>
      <c r="J28">
        <f t="shared" ref="J28:J29" si="26">A28+$B$6</f>
        <v>2.0000000000000004</v>
      </c>
      <c r="K28">
        <f t="shared" si="8"/>
        <v>-3.9999999999999991</v>
      </c>
      <c r="L28">
        <f t="shared" si="9"/>
        <v>-0.39999999999999991</v>
      </c>
      <c r="M28">
        <f t="shared" ref="M28:M29" si="27">B28+(E28+2*G28+2*I28+L28)/6</f>
        <v>-9</v>
      </c>
      <c r="N28">
        <f t="shared" si="19"/>
        <v>-8.5900000000000034</v>
      </c>
    </row>
    <row r="29" spans="1:14" x14ac:dyDescent="0.25">
      <c r="A29">
        <f t="shared" si="20"/>
        <v>2.0000000000000004</v>
      </c>
      <c r="B29">
        <f t="shared" si="21"/>
        <v>-9</v>
      </c>
      <c r="C29">
        <f t="shared" si="22"/>
        <v>2.0500000000000003</v>
      </c>
      <c r="D29">
        <f t="shared" si="23"/>
        <v>-3.9999999999999991</v>
      </c>
      <c r="E29">
        <f t="shared" si="2"/>
        <v>-0.39999999999999991</v>
      </c>
      <c r="F29">
        <f t="shared" si="24"/>
        <v>-3.8999999999999995</v>
      </c>
      <c r="G29">
        <f t="shared" si="4"/>
        <v>-0.38999999999999996</v>
      </c>
      <c r="H29">
        <f t="shared" si="25"/>
        <v>-3.8999999999999995</v>
      </c>
      <c r="I29">
        <f t="shared" si="6"/>
        <v>-0.38999999999999996</v>
      </c>
      <c r="J29">
        <f t="shared" si="26"/>
        <v>2.1000000000000005</v>
      </c>
      <c r="K29">
        <f t="shared" si="8"/>
        <v>-3.7999999999999989</v>
      </c>
      <c r="L29">
        <f t="shared" si="9"/>
        <v>-0.37999999999999989</v>
      </c>
      <c r="M29">
        <f t="shared" si="27"/>
        <v>-9.39</v>
      </c>
      <c r="N29">
        <f t="shared" si="19"/>
        <v>-9.0000000000000018</v>
      </c>
    </row>
  </sheetData>
  <pageMargins left="0.7" right="0.7" top="0.75" bottom="0.75" header="0.3" footer="0.3"/>
  <ignoredErrors>
    <ignoredError sqref="H9 H10:H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 Аганичев</dc:creator>
  <cp:lastModifiedBy>Саша Аганичев</cp:lastModifiedBy>
  <dcterms:created xsi:type="dcterms:W3CDTF">2015-06-05T18:17:20Z</dcterms:created>
  <dcterms:modified xsi:type="dcterms:W3CDTF">2025-05-22T09:20:49Z</dcterms:modified>
</cp:coreProperties>
</file>